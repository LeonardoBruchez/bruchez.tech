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tos 3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<sst xmlns="http://schemas.openxmlformats.org/spreadsheetml/2006/main" count="68" uniqueCount="68">
  <si>
    <t xml:space="preserve">CONTROLE DE PRODUTOS - IMPRESSÃO 3D (FILAMENTO)</t>
  </si>
  <si>
    <t xml:space="preserve">Legenda: células AMARELAS são para preencher/editar. Colunas Lucro, Margem e Lucro/hora são calculadas automaticamente.</t>
  </si>
  <si>
    <t xml:space="preserve">#</t>
  </si>
  <si>
    <t xml:space="preserve">Nome do Produto</t>
  </si>
  <si>
    <t xml:space="preserve">Tamanho (mm)</t>
  </si>
  <si>
    <t xml:space="preserve">Peso (g)</t>
  </si>
  <si>
    <t xml:space="preserve">Tempo de Impressão</t>
  </si>
  <si>
    <t xml:space="preserve">Tempo (h)</t>
  </si>
  <si>
    <t xml:space="preserve">Custo Gasto (R$)</t>
  </si>
  <si>
    <t xml:space="preserve">Preço de Venda (R$)</t>
  </si>
  <si>
    <t xml:space="preserve">Lucro (R$)</t>
  </si>
  <si>
    <t xml:space="preserve">Margem (%)</t>
  </si>
  <si>
    <t xml:space="preserve">Lucro/hora (R$)</t>
  </si>
  <si>
    <t xml:space="preserve">Escudo Flamengo</t>
  </si>
  <si>
    <t xml:space="preserve">146,78 x 178,12 x 10,67</t>
  </si>
  <si>
    <t xml:space="preserve">3h53m</t>
  </si>
  <si>
    <t xml:space="preserve">Fidget Spinner (gear satellite star)</t>
  </si>
  <si>
    <t xml:space="preserve">108,78 x 108,78 x 11,00</t>
  </si>
  <si>
    <t xml:space="preserve">2h37m</t>
  </si>
  <si>
    <t xml:space="preserve">Ovo Dragão Sensorial</t>
  </si>
  <si>
    <t xml:space="preserve">47,98 x 47,98 x 56,63</t>
  </si>
  <si>
    <t xml:space="preserve">3h01m</t>
  </si>
  <si>
    <t xml:space="preserve">Suporte para Headset (montável, c/ capas)</t>
  </si>
  <si>
    <t xml:space="preserve">95,14 x 84,68 x 43,56</t>
  </si>
  <si>
    <t xml:space="preserve">3h43m</t>
  </si>
  <si>
    <t xml:space="preserve">Pote de Coração - Tampa</t>
  </si>
  <si>
    <t xml:space="preserve">169,96 x 144,01 x 10,00</t>
  </si>
  <si>
    <t xml:space="preserve">3h08m</t>
  </si>
  <si>
    <t xml:space="preserve">Chaveiro TypeScript</t>
  </si>
  <si>
    <t xml:space="preserve">37,00 x 37,00 x 7,22</t>
  </si>
  <si>
    <t xml:space="preserve">18m04s</t>
  </si>
  <si>
    <t xml:space="preserve">Letreiro Auweiler (Casa de repouso)</t>
  </si>
  <si>
    <t xml:space="preserve">200,00 x 38,52 x 110,10</t>
  </si>
  <si>
    <t xml:space="preserve">8h40m</t>
  </si>
  <si>
    <t xml:space="preserve">Capa de Bateria DeWalt 20V</t>
  </si>
  <si>
    <t xml:space="preserve">82,06 x 127,02 x 61,21</t>
  </si>
  <si>
    <t xml:space="preserve">8h54m</t>
  </si>
  <si>
    <t xml:space="preserve">Avião A380</t>
  </si>
  <si>
    <t xml:space="preserve">370 mm de comprimento</t>
  </si>
  <si>
    <t xml:space="preserve">15h34m</t>
  </si>
  <si>
    <t xml:space="preserve">Boneco Caue</t>
  </si>
  <si>
    <t xml:space="preserve">111,97 x 160,26 x 200,00</t>
  </si>
  <si>
    <t xml:space="preserve">14h15m</t>
  </si>
  <si>
    <t xml:space="preserve">Letreiro Confie em Deus</t>
  </si>
  <si>
    <t xml:space="preserve">240,26 x 78,34 x 48,83</t>
  </si>
  <si>
    <t xml:space="preserve">8h55m</t>
  </si>
  <si>
    <t xml:space="preserve">QR Code (placa + suporte)</t>
  </si>
  <si>
    <t xml:space="preserve">24,62 x 56,41 x 54,65</t>
  </si>
  <si>
    <t xml:space="preserve">1h43m</t>
  </si>
  <si>
    <t xml:space="preserve">Jaqueta Porta-Caneta (c/ zíper)</t>
  </si>
  <si>
    <t xml:space="preserve">105,06 x 64,13 x 78,36</t>
  </si>
  <si>
    <t xml:space="preserve">3h37m</t>
  </si>
  <si>
    <t xml:space="preserve">Letreiro Marrie (M + encaixe)</t>
  </si>
  <si>
    <t xml:space="preserve">168,18 x 142,09 x 35,04</t>
  </si>
  <si>
    <t xml:space="preserve">2h01m</t>
  </si>
  <si>
    <t xml:space="preserve">Chaveiro de Academia</t>
  </si>
  <si>
    <t xml:space="preserve">Chaveiro Personalizado com Nome</t>
  </si>
  <si>
    <t xml:space="preserve">TOTAIS</t>
  </si>
  <si>
    <t xml:space="preserve">Observações:</t>
  </si>
  <si>
    <t xml:space="preserve">• Todos os custos, pesos e tempos foram informados pelo usuário a partir do fatiador (Bambu Studio) — incluem filamento de modelo + suporte quando aplicável.</t>
  </si>
  <si>
    <t xml:space="preserve">• Preços de venda informados pelo usuário.</t>
  </si>
  <si>
    <t xml:space="preserve">• Suporte para Headset: produto único montável — custo soma as duas placas (R$ 7,18 + R$ 2,28 = R$ 9,46) e o peso soma 68,39 g + 21,74 g.</t>
  </si>
  <si>
    <t xml:space="preserve">• Capa de Bateria DeWalt: altura 61,21 mm = soma da tampa (36,21 mm) + base (25,00 mm); confirmar altura real após montagem.</t>
  </si>
  <si>
    <t xml:space="preserve">• Pote de Coração: valores referentes à TAMPA apenas — falta registrar a base do pote.</t>
  </si>
  <si>
    <t xml:space="preserve">• Letreiro Marrie: medida da peça 'M'; a peça 'Marrie' mede 169,60 x 47,45 x 24,53 mm. Custo é o total das duas.</t>
  </si>
  <si>
    <t xml:space="preserve">• 'Tempo (h)' é o tempo total convertido em horas decimais.</t>
  </si>
  <si>
    <t xml:space="preserve">• Chaveiro de Academia e Chaveiro Personalizado com Nome: preço de venda definido, mas faltam tamanho, peso, tempo e custo de impressão.</t>
  </si>
  <si>
    <t xml:space="preserve">• O custo NÃO inclui energia elétrica, desgaste da máquina, embalagem, mão de obra ou taxas de venda.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</si>
</sst>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&quot;R$ &quot;#,##0.00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44444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n">
        <v>1</v>
      </c>
      <c r="B5" s="5" t="s">
        <v>13</v>
      </c>
      <c r="C5" s="6" t="s">
        <v>14</v>
      </c>
      <c r="D5" s="7" t="n">
        <v>126.75</v>
      </c>
      <c r="E5" s="6" t="s">
        <v>15</v>
      </c>
      <c r="F5" s="7" t="n">
        <v>3.883</v>
      </c>
      <c r="G5" s="8" t="n">
        <v>15.21</v>
      </c>
      <c r="H5" s="8" t="n">
        <v>50</v>
      </c>
      <c r="I5" s="9" t="n">
        <f aca="false">IF(OR(H5="",G5=""),"",H5-G5)</f>
        <v>34.79</v>
      </c>
      <c r="J5" s="10" t="n">
        <f aca="false">IF(OR(H5="",G5="",H5=0),"",(H5-G5)/H5)</f>
        <v>0.6958</v>
      </c>
      <c r="K5" s="9" t="n">
        <f aca="false">IF(OR(H5="",G5="",F5="",F5=0),"",(H5-G5)/F5)</f>
        <v>8.95956734483647</v>
      </c>
    </row>
    <row r="6" customFormat="false" ht="15" hidden="false" customHeight="false" outlineLevel="0" collapsed="false">
      <c r="A6" s="4" t="n">
        <v>2</v>
      </c>
      <c r="B6" s="5" t="s">
        <v>16</v>
      </c>
      <c r="C6" s="6" t="s">
        <v>17</v>
      </c>
      <c r="D6" s="7" t="n">
        <v>36.88</v>
      </c>
      <c r="E6" s="6" t="s">
        <v>18</v>
      </c>
      <c r="F6" s="7" t="n">
        <v>2.617</v>
      </c>
      <c r="G6" s="8" t="n">
        <v>4.43</v>
      </c>
      <c r="H6" s="8" t="n">
        <v>35</v>
      </c>
      <c r="I6" s="9" t="n">
        <f aca="false">IF(OR(H6="",G6=""),"",H6-G6)</f>
        <v>30.57</v>
      </c>
      <c r="J6" s="10" t="n">
        <f aca="false">IF(OR(H6="",G6="",H6=0),"",(H6-G6)/H6)</f>
        <v>0.873428571428571</v>
      </c>
      <c r="K6" s="9" t="n">
        <f aca="false">IF(OR(H6="",G6="",F6="",F6=0),"",(H6-G6)/F6)</f>
        <v>11.6813144822316</v>
      </c>
    </row>
    <row r="7" customFormat="false" ht="15" hidden="false" customHeight="false" outlineLevel="0" collapsed="false">
      <c r="A7" s="4" t="n">
        <v>3</v>
      </c>
      <c r="B7" s="5" t="s">
        <v>19</v>
      </c>
      <c r="C7" s="6" t="s">
        <v>20</v>
      </c>
      <c r="D7" s="7" t="n">
        <v>41.11</v>
      </c>
      <c r="E7" s="6" t="s">
        <v>21</v>
      </c>
      <c r="F7" s="7" t="n">
        <v>3.017</v>
      </c>
      <c r="G7" s="8" t="n">
        <v>4.93</v>
      </c>
      <c r="H7" s="8" t="n">
        <v>35</v>
      </c>
      <c r="I7" s="9" t="n">
        <f aca="false">IF(OR(H7="",G7=""),"",H7-G7)</f>
        <v>30.07</v>
      </c>
      <c r="J7" s="10" t="n">
        <f aca="false">IF(OR(H7="",G7="",H7=0),"",(H7-G7)/H7)</f>
        <v>0.859142857142857</v>
      </c>
      <c r="K7" s="9" t="n">
        <f aca="false">IF(OR(H7="",G7="",F7="",F7=0),"",(H7-G7)/F7)</f>
        <v>9.96685449121644</v>
      </c>
    </row>
    <row r="8" customFormat="false" ht="15" hidden="false" customHeight="false" outlineLevel="0" collapsed="false">
      <c r="A8" s="4" t="n">
        <v>4</v>
      </c>
      <c r="B8" s="5" t="s">
        <v>22</v>
      </c>
      <c r="C8" s="6" t="s">
        <v>23</v>
      </c>
      <c r="D8" s="7" t="n">
        <v>90.13</v>
      </c>
      <c r="E8" s="6" t="s">
        <v>24</v>
      </c>
      <c r="F8" s="7" t="n">
        <v>3.717</v>
      </c>
      <c r="G8" s="8" t="n">
        <v>9.46</v>
      </c>
      <c r="H8" s="8" t="n">
        <v>35</v>
      </c>
      <c r="I8" s="9" t="n">
        <f aca="false">IF(OR(H8="",G8=""),"",H8-G8)</f>
        <v>25.54</v>
      </c>
      <c r="J8" s="10" t="n">
        <f aca="false">IF(OR(H8="",G8="",H8=0),"",(H8-G8)/H8)</f>
        <v>0.729714285714286</v>
      </c>
      <c r="K8" s="9" t="n">
        <f aca="false">IF(OR(H8="",G8="",F8="",F8=0),"",(H8-G8)/F8)</f>
        <v>6.8711326338445</v>
      </c>
    </row>
    <row r="9" customFormat="false" ht="15" hidden="false" customHeight="false" outlineLevel="0" collapsed="false">
      <c r="A9" s="4" t="n">
        <v>5</v>
      </c>
      <c r="B9" s="5" t="s">
        <v>25</v>
      </c>
      <c r="C9" s="6" t="s">
        <v>26</v>
      </c>
      <c r="D9" s="7" t="n">
        <v>66.93</v>
      </c>
      <c r="E9" s="6" t="s">
        <v>27</v>
      </c>
      <c r="F9" s="7" t="n">
        <v>3.133</v>
      </c>
      <c r="G9" s="8" t="n">
        <v>8.03</v>
      </c>
      <c r="H9" s="8" t="n">
        <v>50</v>
      </c>
      <c r="I9" s="9" t="n">
        <f aca="false">IF(OR(H9="",G9=""),"",H9-G9)</f>
        <v>41.97</v>
      </c>
      <c r="J9" s="10" t="n">
        <f aca="false">IF(OR(H9="",G9="",H9=0),"",(H9-G9)/H9)</f>
        <v>0.8394</v>
      </c>
      <c r="K9" s="9" t="n">
        <f aca="false">IF(OR(H9="",G9="",F9="",F9=0),"",(H9-G9)/F9)</f>
        <v>13.3961059687201</v>
      </c>
    </row>
    <row r="10" customFormat="false" ht="15" hidden="false" customHeight="false" outlineLevel="0" collapsed="false">
      <c r="A10" s="4" t="n">
        <v>6</v>
      </c>
      <c r="B10" s="5" t="s">
        <v>28</v>
      </c>
      <c r="C10" s="6" t="s">
        <v>29</v>
      </c>
      <c r="D10" s="7" t="n">
        <v>4.61</v>
      </c>
      <c r="E10" s="6" t="s">
        <v>30</v>
      </c>
      <c r="F10" s="7" t="n">
        <v>0.301</v>
      </c>
      <c r="G10" s="8" t="n">
        <v>0.34</v>
      </c>
      <c r="H10" s="8" t="n">
        <v>7</v>
      </c>
      <c r="I10" s="9" t="n">
        <f aca="false">IF(OR(H10="",G10=""),"",H10-G10)</f>
        <v>6.66</v>
      </c>
      <c r="J10" s="10" t="n">
        <f aca="false">IF(OR(H10="",G10="",H10=0),"",(H10-G10)/H10)</f>
        <v>0.951428571428571</v>
      </c>
      <c r="K10" s="9" t="n">
        <f aca="false">IF(OR(H10="",G10="",F10="",F10=0),"",(H10-G10)/F10)</f>
        <v>22.1262458471761</v>
      </c>
    </row>
    <row r="11" customFormat="false" ht="15" hidden="false" customHeight="false" outlineLevel="0" collapsed="false">
      <c r="A11" s="4" t="n">
        <v>7</v>
      </c>
      <c r="B11" s="5" t="s">
        <v>31</v>
      </c>
      <c r="C11" s="6" t="s">
        <v>32</v>
      </c>
      <c r="D11" s="7" t="n">
        <v>111.94</v>
      </c>
      <c r="E11" s="6" t="s">
        <v>33</v>
      </c>
      <c r="F11" s="7" t="n">
        <v>8.667</v>
      </c>
      <c r="G11" s="8" t="n">
        <v>13.43</v>
      </c>
      <c r="H11" s="8" t="n">
        <v>47</v>
      </c>
      <c r="I11" s="9" t="n">
        <f aca="false">IF(OR(H11="",G11=""),"",H11-G11)</f>
        <v>33.57</v>
      </c>
      <c r="J11" s="10" t="n">
        <f aca="false">IF(OR(H11="",G11="",H11=0),"",(H11-G11)/H11)</f>
        <v>0.714255319148936</v>
      </c>
      <c r="K11" s="9" t="n">
        <f aca="false">IF(OR(H11="",G11="",F11="",F11=0),"",(H11-G11)/F11)</f>
        <v>3.87331256490135</v>
      </c>
    </row>
    <row r="12" customFormat="false" ht="15" hidden="false" customHeight="false" outlineLevel="0" collapsed="false">
      <c r="A12" s="4" t="n">
        <v>8</v>
      </c>
      <c r="B12" s="5" t="s">
        <v>34</v>
      </c>
      <c r="C12" s="6" t="s">
        <v>35</v>
      </c>
      <c r="D12" s="7" t="n">
        <v>158.23</v>
      </c>
      <c r="E12" s="6" t="s">
        <v>36</v>
      </c>
      <c r="F12" s="7" t="n">
        <v>8.9</v>
      </c>
      <c r="G12" s="8" t="n">
        <v>18.99</v>
      </c>
      <c r="H12" s="8" t="n">
        <v>100</v>
      </c>
      <c r="I12" s="9" t="n">
        <f aca="false">IF(OR(H12="",G12=""),"",H12-G12)</f>
        <v>81.01</v>
      </c>
      <c r="J12" s="10" t="n">
        <f aca="false">IF(OR(H12="",G12="",H12=0),"",(H12-G12)/H12)</f>
        <v>0.8101</v>
      </c>
      <c r="K12" s="9" t="n">
        <f aca="false">IF(OR(H12="",G12="",F12="",F12=0),"",(H12-G12)/F12)</f>
        <v>9.10224719101124</v>
      </c>
    </row>
    <row r="13" customFormat="false" ht="15" hidden="false" customHeight="false" outlineLevel="0" collapsed="false">
      <c r="A13" s="4" t="n">
        <v>9</v>
      </c>
      <c r="B13" s="5" t="s">
        <v>37</v>
      </c>
      <c r="C13" s="6" t="s">
        <v>38</v>
      </c>
      <c r="D13" s="7" t="n">
        <v>285.78</v>
      </c>
      <c r="E13" s="6" t="s">
        <v>39</v>
      </c>
      <c r="F13" s="7" t="n">
        <v>15.567</v>
      </c>
      <c r="G13" s="8" t="n">
        <v>30.01</v>
      </c>
      <c r="H13" s="8" t="n">
        <v>140</v>
      </c>
      <c r="I13" s="9" t="n">
        <f aca="false">IF(OR(H13="",G13=""),"",H13-G13)</f>
        <v>109.99</v>
      </c>
      <c r="J13" s="10" t="n">
        <f aca="false">IF(OR(H13="",G13="",H13=0),"",(H13-G13)/H13)</f>
        <v>0.785642857142857</v>
      </c>
      <c r="K13" s="9" t="n">
        <f aca="false">IF(OR(H13="",G13="",F13="",F13=0),"",(H13-G13)/F13)</f>
        <v>7.06558746065395</v>
      </c>
    </row>
    <row r="14" customFormat="false" ht="15" hidden="false" customHeight="false" outlineLevel="0" collapsed="false">
      <c r="A14" s="4" t="n">
        <v>10</v>
      </c>
      <c r="B14" s="5" t="s">
        <v>40</v>
      </c>
      <c r="C14" s="6" t="s">
        <v>41</v>
      </c>
      <c r="D14" s="7" t="n">
        <v>120.53</v>
      </c>
      <c r="E14" s="6" t="s">
        <v>42</v>
      </c>
      <c r="F14" s="7" t="n">
        <v>14.25</v>
      </c>
      <c r="G14" s="8" t="n">
        <v>14.46</v>
      </c>
      <c r="H14" s="8" t="n">
        <v>50</v>
      </c>
      <c r="I14" s="9" t="n">
        <f aca="false">IF(OR(H14="",G14=""),"",H14-G14)</f>
        <v>35.54</v>
      </c>
      <c r="J14" s="10" t="n">
        <f aca="false">IF(OR(H14="",G14="",H14=0),"",(H14-G14)/H14)</f>
        <v>0.7108</v>
      </c>
      <c r="K14" s="9" t="n">
        <f aca="false">IF(OR(H14="",G14="",F14="",F14=0),"",(H14-G14)/F14)</f>
        <v>2.4940350877193</v>
      </c>
    </row>
    <row r="15" customFormat="false" ht="15" hidden="false" customHeight="false" outlineLevel="0" collapsed="false">
      <c r="A15" s="4" t="n">
        <v>11</v>
      </c>
      <c r="B15" s="5" t="s">
        <v>43</v>
      </c>
      <c r="C15" s="6" t="s">
        <v>44</v>
      </c>
      <c r="D15" s="7" t="n">
        <v>160.82</v>
      </c>
      <c r="E15" s="6" t="s">
        <v>45</v>
      </c>
      <c r="F15" s="7" t="n">
        <v>8.917</v>
      </c>
      <c r="G15" s="8" t="n">
        <v>4.02</v>
      </c>
      <c r="H15" s="8" t="n">
        <v>49.9</v>
      </c>
      <c r="I15" s="9" t="n">
        <f aca="false">IF(OR(H15="",G15=""),"",H15-G15)</f>
        <v>45.88</v>
      </c>
      <c r="J15" s="10" t="n">
        <f aca="false">IF(OR(H15="",G15="",H15=0),"",(H15-G15)/H15)</f>
        <v>0.919438877755511</v>
      </c>
      <c r="K15" s="9" t="n">
        <f aca="false">IF(OR(H15="",G15="",F15="",F15=0),"",(H15-G15)/F15)</f>
        <v>5.14522821576763</v>
      </c>
    </row>
    <row r="16" customFormat="false" ht="15" hidden="false" customHeight="false" outlineLevel="0" collapsed="false">
      <c r="A16" s="4" t="n">
        <v>12</v>
      </c>
      <c r="B16" s="5" t="s">
        <v>46</v>
      </c>
      <c r="C16" s="6" t="s">
        <v>47</v>
      </c>
      <c r="D16" s="7" t="n">
        <v>26.14</v>
      </c>
      <c r="E16" s="6" t="s">
        <v>48</v>
      </c>
      <c r="F16" s="7" t="n">
        <v>1.717</v>
      </c>
      <c r="G16" s="8" t="n">
        <v>3.14</v>
      </c>
      <c r="H16" s="8" t="n">
        <v>30</v>
      </c>
      <c r="I16" s="9" t="n">
        <f aca="false">IF(OR(H16="",G16=""),"",H16-G16)</f>
        <v>26.86</v>
      </c>
      <c r="J16" s="10" t="n">
        <f aca="false">IF(OR(H16="",G16="",H16=0),"",(H16-G16)/H16)</f>
        <v>0.895333333333333</v>
      </c>
      <c r="K16" s="9" t="n">
        <f aca="false">IF(OR(H16="",G16="",F16="",F16=0),"",(H16-G16)/F16)</f>
        <v>15.6435643564356</v>
      </c>
    </row>
    <row r="17" customFormat="false" ht="15" hidden="false" customHeight="false" outlineLevel="0" collapsed="false">
      <c r="A17" s="4" t="n">
        <v>13</v>
      </c>
      <c r="B17" s="5" t="s">
        <v>49</v>
      </c>
      <c r="C17" s="6" t="s">
        <v>50</v>
      </c>
      <c r="D17" s="7" t="n">
        <v>56.84</v>
      </c>
      <c r="E17" s="6" t="s">
        <v>51</v>
      </c>
      <c r="F17" s="7" t="n">
        <v>3.617</v>
      </c>
      <c r="G17" s="8" t="n">
        <v>6.82</v>
      </c>
      <c r="H17" s="8" t="n">
        <v>37.9</v>
      </c>
      <c r="I17" s="9" t="n">
        <f aca="false">IF(OR(H17="",G17=""),"",H17-G17)</f>
        <v>31.08</v>
      </c>
      <c r="J17" s="10" t="n">
        <f aca="false">IF(OR(H17="",G17="",H17=0),"",(H17-G17)/H17)</f>
        <v>0.820052770448549</v>
      </c>
      <c r="K17" s="9" t="n">
        <f aca="false">IF(OR(H17="",G17="",F17="",F17=0),"",(H17-G17)/F17)</f>
        <v>8.59275642797899</v>
      </c>
    </row>
    <row r="18" customFormat="false" ht="15" hidden="false" customHeight="false" outlineLevel="0" collapsed="false">
      <c r="A18" s="4" t="n">
        <v>14</v>
      </c>
      <c r="B18" s="5" t="s">
        <v>52</v>
      </c>
      <c r="C18" s="6" t="s">
        <v>53</v>
      </c>
      <c r="D18" s="7" t="n">
        <v>47.45</v>
      </c>
      <c r="E18" s="6" t="s">
        <v>54</v>
      </c>
      <c r="F18" s="7" t="n">
        <v>2.017</v>
      </c>
      <c r="G18" s="8" t="n">
        <v>5.69</v>
      </c>
      <c r="H18" s="8" t="n">
        <v>49.9</v>
      </c>
      <c r="I18" s="9" t="n">
        <f aca="false">IF(OR(H18="",G18=""),"",H18-G18)</f>
        <v>44.21</v>
      </c>
      <c r="J18" s="10" t="n">
        <f aca="false">IF(OR(H18="",G18="",H18=0),"",(H18-G18)/H18)</f>
        <v>0.885971943887776</v>
      </c>
      <c r="K18" s="9" t="n">
        <f aca="false">IF(OR(H18="",G18="",F18="",F18=0),"",(H18-G18)/F18)</f>
        <v>21.9186911254338</v>
      </c>
    </row>
    <row r="19" customFormat="false" ht="15" hidden="false" customHeight="false" outlineLevel="0" collapsed="false">
      <c r="A19" s="4" t="n">
        <v>15</v>
      </c>
      <c r="B19" s="5" t="s">
        <v>55</v>
      </c>
      <c r="C19" s="6"/>
      <c r="D19" s="7"/>
      <c r="E19" s="6"/>
      <c r="F19" s="7"/>
      <c r="G19" s="8"/>
      <c r="H19" s="8" t="n">
        <v>10</v>
      </c>
      <c r="I19" s="9" t="str">
        <f aca="false">IF(OR(H19="",G19=""),"",H19-G19)</f>
        <v/>
      </c>
      <c r="J19" s="10" t="str">
        <f aca="false">IF(OR(H19="",G19="",H19=0),"",(H19-G19)/H19)</f>
        <v/>
      </c>
      <c r="K19" s="9" t="str">
        <f aca="false">IF(OR(H19="",G19="",F19="",F19=0),"",(H19-G19)/F19)</f>
        <v/>
      </c>
    </row>
    <row r="20" customFormat="false" ht="15" hidden="false" customHeight="false" outlineLevel="0" collapsed="false">
      <c r="A20" s="4" t="n">
        <v>16</v>
      </c>
      <c r="B20" s="5" t="s">
        <v>56</v>
      </c>
      <c r="C20" s="6"/>
      <c r="D20" s="7"/>
      <c r="E20" s="6"/>
      <c r="F20" s="7"/>
      <c r="G20" s="8"/>
      <c r="H20" s="8" t="n">
        <v>7</v>
      </c>
      <c r="I20" s="9" t="str">
        <f aca="false">IF(OR(H20="",G20=""),"",H20-G20)</f>
        <v/>
      </c>
      <c r="J20" s="10" t="str">
        <f aca="false">IF(OR(H20="",G20="",H20=0),"",(H20-G20)/H20)</f>
        <v/>
      </c>
      <c r="K20" s="9" t="str">
        <f aca="false">IF(OR(H20="",G20="",F20="",F20=0),"",(H20-G20)/F20)</f>
        <v/>
      </c>
    </row>
    <row r="21" customFormat="false" ht="15" hidden="false" customHeight="false" outlineLevel="0" collapsed="false">
      <c r="A21" s="4" t="n">
        <v>17</v>
      </c>
      <c r="B21" s="5"/>
      <c r="C21" s="6"/>
      <c r="D21" s="7"/>
      <c r="E21" s="6"/>
      <c r="F21" s="7"/>
      <c r="G21" s="8"/>
      <c r="H21" s="8"/>
      <c r="I21" s="9" t="str">
        <f aca="false">IF(OR(H21="",G21=""),"",H21-G21)</f>
        <v/>
      </c>
      <c r="J21" s="10" t="str">
        <f aca="false">IF(OR(H21="",G21="",H21=0),"",(H21-G21)/H21)</f>
        <v/>
      </c>
      <c r="K21" s="9" t="str">
        <f aca="false">IF(OR(H21="",G21="",F21="",F21=0),"",(H21-G21)/F21)</f>
        <v/>
      </c>
    </row>
    <row r="22" customFormat="false" ht="15" hidden="false" customHeight="false" outlineLevel="0" collapsed="false">
      <c r="A22" s="4" t="n">
        <v>18</v>
      </c>
      <c r="B22" s="5"/>
      <c r="C22" s="6"/>
      <c r="D22" s="7"/>
      <c r="E22" s="6"/>
      <c r="F22" s="7"/>
      <c r="G22" s="8"/>
      <c r="H22" s="8"/>
      <c r="I22" s="9" t="str">
        <f aca="false">IF(OR(H22="",G22=""),"",H22-G22)</f>
        <v/>
      </c>
      <c r="J22" s="10" t="str">
        <f aca="false">IF(OR(H22="",G22="",H22=0),"",(H22-G22)/H22)</f>
        <v/>
      </c>
      <c r="K22" s="9" t="str">
        <f aca="false">IF(OR(H22="",G22="",F22="",F22=0),"",(H22-G22)/F22)</f>
        <v/>
      </c>
    </row>
    <row r="23" customFormat="false" ht="15" hidden="false" customHeight="false" outlineLevel="0" collapsed="false">
      <c r="A23" s="4" t="n">
        <v>19</v>
      </c>
      <c r="B23" s="5"/>
      <c r="C23" s="6"/>
      <c r="D23" s="7"/>
      <c r="E23" s="6"/>
      <c r="F23" s="7"/>
      <c r="G23" s="8"/>
      <c r="H23" s="8"/>
      <c r="I23" s="9" t="str">
        <f aca="false">IF(OR(H23="",G23=""),"",H23-G23)</f>
        <v/>
      </c>
      <c r="J23" s="10" t="str">
        <f aca="false">IF(OR(H23="",G23="",H23=0),"",(H23-G23)/H23)</f>
        <v/>
      </c>
      <c r="K23" s="9" t="str">
        <f aca="false">IF(OR(H23="",G23="",F23="",F23=0),"",(H23-G23)/F23)</f>
        <v/>
      </c>
    </row>
    <row r="24" customFormat="false" ht="15" hidden="false" customHeight="false" outlineLevel="0" collapsed="false">
      <c r="A24" s="4" t="n">
        <v>20</v>
      </c>
      <c r="B24" s="5"/>
      <c r="C24" s="6"/>
      <c r="D24" s="7"/>
      <c r="E24" s="6"/>
      <c r="F24" s="7"/>
      <c r="G24" s="8"/>
      <c r="H24" s="8"/>
      <c r="I24" s="9" t="str">
        <f aca="false">IF(OR(H24="",G24=""),"",H24-G24)</f>
        <v/>
      </c>
      <c r="J24" s="10" t="str">
        <f aca="false">IF(OR(H24="",G24="",H24=0),"",(H24-G24)/H24)</f>
        <v/>
      </c>
      <c r="K24" s="9" t="str">
        <f aca="false">IF(OR(H24="",G24="",F24="",F24=0),"",(H24-G24)/F24)</f>
        <v/>
      </c>
    </row>
    <row r="25" customFormat="false" ht="15" hidden="false" customHeight="false" outlineLevel="0" collapsed="false">
      <c r="A25" s="4" t="n">
        <v>21</v>
      </c>
      <c r="B25" s="5"/>
      <c r="C25" s="6"/>
      <c r="D25" s="7"/>
      <c r="E25" s="6"/>
      <c r="F25" s="7"/>
      <c r="G25" s="8"/>
      <c r="H25" s="8"/>
      <c r="I25" s="9" t="str">
        <f aca="false">IF(OR(H25="",G25=""),"",H25-G25)</f>
        <v/>
      </c>
      <c r="J25" s="10" t="str">
        <f aca="false">IF(OR(H25="",G25="",H25=0),"",(H25-G25)/H25)</f>
        <v/>
      </c>
      <c r="K25" s="9" t="str">
        <f aca="false">IF(OR(H25="",G25="",F25="",F25=0),"",(H25-G25)/F25)</f>
        <v/>
      </c>
    </row>
    <row r="26" customFormat="false" ht="15" hidden="false" customHeight="false" outlineLevel="0" collapsed="false">
      <c r="A26" s="4" t="n">
        <v>22</v>
      </c>
      <c r="B26" s="5"/>
      <c r="C26" s="6"/>
      <c r="D26" s="7"/>
      <c r="E26" s="6"/>
      <c r="F26" s="7"/>
      <c r="G26" s="8"/>
      <c r="H26" s="8"/>
      <c r="I26" s="9" t="str">
        <f aca="false">IF(OR(H26="",G26=""),"",H26-G26)</f>
        <v/>
      </c>
      <c r="J26" s="10" t="str">
        <f aca="false">IF(OR(H26="",G26="",H26=0),"",(H26-G26)/H26)</f>
        <v/>
      </c>
      <c r="K26" s="9" t="str">
        <f aca="false">IF(OR(H26="",G26="",F26="",F26=0),"",(H26-G26)/F26)</f>
        <v/>
      </c>
    </row>
    <row r="27" customFormat="false" ht="15" hidden="false" customHeight="false" outlineLevel="0" collapsed="false">
      <c r="A27" s="4" t="n">
        <v>23</v>
      </c>
      <c r="B27" s="5"/>
      <c r="C27" s="6"/>
      <c r="D27" s="7"/>
      <c r="E27" s="6"/>
      <c r="F27" s="7"/>
      <c r="G27" s="8"/>
      <c r="H27" s="8"/>
      <c r="I27" s="9" t="str">
        <f aca="false">IF(OR(H27="",G27=""),"",H27-G27)</f>
        <v/>
      </c>
      <c r="J27" s="10" t="str">
        <f aca="false">IF(OR(H27="",G27="",H27=0),"",(H27-G27)/H27)</f>
        <v/>
      </c>
      <c r="K27" s="9" t="str">
        <f aca="false">IF(OR(H27="",G27="",F27="",F27=0),"",(H27-G27)/F27)</f>
        <v/>
      </c>
    </row>
    <row r="28" customFormat="false" ht="15" hidden="false" customHeight="false" outlineLevel="0" collapsed="false">
      <c r="A28" s="4" t="n">
        <v>24</v>
      </c>
      <c r="B28" s="5"/>
      <c r="C28" s="6"/>
      <c r="D28" s="7"/>
      <c r="E28" s="6"/>
      <c r="F28" s="7"/>
      <c r="G28" s="8"/>
      <c r="H28" s="8"/>
      <c r="I28" s="9" t="str">
        <f aca="false">IF(OR(H28="",G28=""),"",H28-G28)</f>
        <v/>
      </c>
      <c r="J28" s="10" t="str">
        <f aca="false">IF(OR(H28="",G28="",H28=0),"",(H28-G28)/H28)</f>
        <v/>
      </c>
      <c r="K28" s="9" t="str">
        <f aca="false">IF(OR(H28="",G28="",F28="",F28=0),"",(H28-G28)/F28)</f>
        <v/>
      </c>
    </row>
    <row r="30" customFormat="false" ht="15" hidden="false" customHeight="false" outlineLevel="0" collapsed="false">
      <c r="A30" s="11"/>
      <c r="B30" s="11" t="s">
        <v>57</v>
      </c>
      <c r="C30" s="11"/>
      <c r="D30" s="12" t="n">
        <f aca="false">SUM(D5:D28)</f>
        <v>1334.14</v>
      </c>
      <c r="E30" s="11"/>
      <c r="F30" s="12" t="n">
        <f aca="false">SUM(F5:F28)</f>
        <v>80.32</v>
      </c>
      <c r="G30" s="13" t="n">
        <f aca="false">SUM(G5:G28)</f>
        <v>138.96</v>
      </c>
      <c r="H30" s="13" t="n">
        <f aca="false">SUM(H5:H28)</f>
        <v>733.7</v>
      </c>
      <c r="I30" s="13" t="n">
        <f aca="false">SUM(I5:I28)</f>
        <v>577.74</v>
      </c>
      <c r="J30" s="14" t="n">
        <f aca="false">IF(H30=0,"",I30/H30)</f>
        <v>0.787433555949298</v>
      </c>
      <c r="K30" s="13" t="n">
        <f aca="false">IF(F30=0,"",I30/F30)</f>
        <v>7.1929780876494</v>
      </c>
    </row>
    <row r="32" customFormat="false" ht="15" hidden="false" customHeight="false" outlineLevel="0" collapsed="false">
      <c r="A32" s="15" t="s">
        <v>58</v>
      </c>
    </row>
    <row r="33" customFormat="false" ht="15" hidden="false" customHeight="false" outlineLevel="0" collapsed="false">
      <c r="A33" s="16" t="s">
        <v>59</v>
      </c>
    </row>
    <row r="34" customFormat="false" ht="15" hidden="false" customHeight="false" outlineLevel="0" collapsed="false">
      <c r="A34" s="16" t="s">
        <v>60</v>
      </c>
    </row>
    <row r="35" customFormat="false" ht="15" hidden="false" customHeight="false" outlineLevel="0" collapsed="false">
      <c r="A35" s="16" t="s">
        <v>61</v>
      </c>
    </row>
    <row r="36" customFormat="false" ht="15" hidden="false" customHeight="false" outlineLevel="0" collapsed="false">
      <c r="A36" s="16" t="s">
        <v>62</v>
      </c>
    </row>
    <row r="37" customFormat="false" ht="15" hidden="false" customHeight="false" outlineLevel="0" collapsed="false">
      <c r="A37" s="16" t="s">
        <v>63</v>
      </c>
    </row>
    <row r="38" customFormat="false" ht="15" hidden="false" customHeight="false" outlineLevel="0" collapsed="false">
      <c r="A38" s="16" t="s">
        <v>64</v>
      </c>
    </row>
    <row r="39" customFormat="false" ht="15" hidden="false" customHeight="false" outlineLevel="0" collapsed="false">
      <c r="A39" s="16" t="s">
        <v>65</v>
      </c>
    </row>
    <row r="40" customFormat="false" ht="15" hidden="false" customHeight="false" outlineLevel="0" collapsed="false">
      <c r="A40" s="16" t="s">
        <v>66</v>
      </c>
    </row>
    <row r="41" customFormat="false" ht="15" hidden="false" customHeight="false" outlineLevel="0" collapsed="false">
      <c r="A41" s="16" t="s">
        <v>67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2026-08-13T19:47:22Z</dcterms:created>
  <dc:creator>openpyxl</dc:creator>
  <dc:description/>
  <dc:language>en-US</dc:language>
  <cp:lastModifiedBy/>
  <dcterms:modified xsi:type="dcterms:W3CDTF">2026-08-13T19:47:22Z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